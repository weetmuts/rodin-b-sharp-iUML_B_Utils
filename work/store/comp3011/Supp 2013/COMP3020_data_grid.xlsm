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206" codeName="{00000000-0000-0000-0000-000000000000}"/>
  <workbookPr codeName="ThisWorkbook" autoCompressPictures="0"/>
  <bookViews>
    <workbookView xWindow="0" yWindow="0" windowWidth="38400" windowHeight="23480"/>
  </bookViews>
  <sheets>
    <sheet name="Data Entry" sheetId="2" r:id="rId1"/>
    <sheet name="Instructions" sheetId="3" r:id="rId2"/>
  </sheets>
  <definedNames>
    <definedName name="Options">Instructions!$A$4:$A$6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6" i="2" l="1"/>
  <c r="M16" i="2"/>
  <c r="P16" i="2"/>
  <c r="S16" i="2"/>
  <c r="V16" i="2"/>
  <c r="W16" i="2"/>
  <c r="V15" i="2"/>
  <c r="S15" i="2"/>
  <c r="P15" i="2"/>
  <c r="M15" i="2"/>
  <c r="J15" i="2"/>
  <c r="V14" i="2"/>
  <c r="S14" i="2"/>
  <c r="P14" i="2"/>
  <c r="M14" i="2"/>
  <c r="J14" i="2"/>
  <c r="V13" i="2"/>
  <c r="S13" i="2"/>
  <c r="P13" i="2"/>
  <c r="M13" i="2"/>
  <c r="J13" i="2"/>
  <c r="V12" i="2"/>
  <c r="S12" i="2"/>
  <c r="P12" i="2"/>
  <c r="M12" i="2"/>
  <c r="J12" i="2"/>
  <c r="V11" i="2"/>
  <c r="S11" i="2"/>
  <c r="P11" i="2"/>
  <c r="M11" i="2"/>
  <c r="J11" i="2"/>
  <c r="V10" i="2"/>
  <c r="S10" i="2"/>
  <c r="P10" i="2"/>
  <c r="M10" i="2"/>
  <c r="J10" i="2"/>
  <c r="V9" i="2"/>
  <c r="S9" i="2"/>
  <c r="P9" i="2"/>
  <c r="M9" i="2"/>
  <c r="J9" i="2"/>
  <c r="V8" i="2"/>
  <c r="S8" i="2"/>
  <c r="P8" i="2"/>
  <c r="M8" i="2"/>
  <c r="J8" i="2"/>
  <c r="V7" i="2"/>
  <c r="S7" i="2"/>
  <c r="P7" i="2"/>
  <c r="M7" i="2"/>
  <c r="J7" i="2"/>
  <c r="V6" i="2"/>
  <c r="S6" i="2"/>
  <c r="P6" i="2"/>
  <c r="M6" i="2"/>
  <c r="J6" i="2"/>
  <c r="V5" i="2"/>
  <c r="S5" i="2"/>
  <c r="P5" i="2"/>
  <c r="M5" i="2"/>
  <c r="J5" i="2"/>
  <c r="J4" i="2"/>
  <c r="W3" i="2"/>
  <c r="W5" i="2"/>
  <c r="V3" i="2"/>
  <c r="S3" i="2"/>
  <c r="P3" i="2"/>
  <c r="M3" i="2"/>
  <c r="W2" i="2"/>
  <c r="W1" i="2"/>
  <c r="W6" i="2"/>
  <c r="W8" i="2"/>
  <c r="W10" i="2"/>
  <c r="W12" i="2"/>
  <c r="W14" i="2"/>
  <c r="W7" i="2"/>
  <c r="W9" i="2"/>
  <c r="W11" i="2"/>
  <c r="W13" i="2"/>
  <c r="W15" i="2"/>
</calcChain>
</file>

<file path=xl/sharedStrings.xml><?xml version="1.0" encoding="utf-8"?>
<sst xmlns="http://schemas.openxmlformats.org/spreadsheetml/2006/main" count="146" uniqueCount="80">
  <si>
    <t>Exam</t>
  </si>
  <si>
    <t>Final</t>
  </si>
  <si>
    <t>Late</t>
  </si>
  <si>
    <t>Due Date</t>
  </si>
  <si>
    <t>Date</t>
  </si>
  <si>
    <t>T</t>
  </si>
  <si>
    <t>W</t>
  </si>
  <si>
    <t>Mark</t>
  </si>
  <si>
    <t>Assignment</t>
  </si>
  <si>
    <t>EO</t>
  </si>
  <si>
    <t>CWO</t>
  </si>
  <si>
    <t>ECW</t>
  </si>
  <si>
    <t>Examination Only</t>
  </si>
  <si>
    <t>Coursework only</t>
  </si>
  <si>
    <t>Examination and Coursework</t>
  </si>
  <si>
    <t>Setting Up</t>
  </si>
  <si>
    <t>2. Enter dates and names of assignments as required.</t>
  </si>
  <si>
    <t>Entering Marks</t>
  </si>
  <si>
    <t>1. Enter the marks for the relevant assessment components.</t>
  </si>
  <si>
    <t>2. If an assignment is late, enter the number of days late in the corresponding cell. The final mark is adjusted according to the current rules, including 0 of the days late is greater that 5</t>
  </si>
  <si>
    <t xml:space="preserve"> 5. If you have three equally weighted assignments, the weighting is 0.3333.</t>
  </si>
  <si>
    <t>6. If an additional assignment is required. Select button on the Instruction pages and then select the blue button to add more assignments.</t>
  </si>
  <si>
    <r>
      <t xml:space="preserve">7. Check that the “Error” flag above </t>
    </r>
    <r>
      <rPr>
        <i/>
        <sz val="12"/>
        <rFont val="Lucida Sans"/>
        <family val="2"/>
      </rPr>
      <t>Final Mark</t>
    </r>
    <r>
      <rPr>
        <sz val="12"/>
        <rFont val="Lucida Sans"/>
        <family val="2"/>
      </rPr>
      <t xml:space="preserve"> is not visible and 100 appears above </t>
    </r>
    <r>
      <rPr>
        <i/>
        <sz val="12"/>
        <rFont val="Lucida Sans"/>
        <family val="2"/>
      </rPr>
      <t>Final Mark.</t>
    </r>
  </si>
  <si>
    <t>Used for Scaling</t>
  </si>
  <si>
    <t>Final Mark</t>
  </si>
  <si>
    <r>
      <t xml:space="preserve">1. Using the pull down menu in cell </t>
    </r>
    <r>
      <rPr>
        <b/>
        <sz val="12"/>
        <rFont val="Lucida Sans"/>
        <family val="2"/>
      </rPr>
      <t>J3</t>
    </r>
    <r>
      <rPr>
        <sz val="12"/>
        <rFont val="Lucida Sans"/>
        <family val="2"/>
      </rPr>
      <t xml:space="preserve"> (ECS) or O3 (P&amp;A) set the type of assessment for the module (EO – Examination only, CWO – Coursework only, ECW examination and coursework).</t>
    </r>
  </si>
  <si>
    <r>
      <t xml:space="preserve">3. For each individual assessment enter the mark out of which the element is assessed in the box cell mark </t>
    </r>
    <r>
      <rPr>
        <b/>
        <sz val="12"/>
        <rFont val="Lucida Sans"/>
        <family val="2"/>
      </rPr>
      <t>T</t>
    </r>
    <r>
      <rPr>
        <sz val="12"/>
        <rFont val="Lucida Sans"/>
        <family val="2"/>
      </rPr>
      <t>.</t>
    </r>
  </si>
  <si>
    <r>
      <t xml:space="preserve">4. In the box marked </t>
    </r>
    <r>
      <rPr>
        <b/>
        <sz val="12"/>
        <rFont val="Lucida Sans"/>
        <family val="2"/>
      </rPr>
      <t xml:space="preserve">W </t>
    </r>
    <r>
      <rPr>
        <sz val="12"/>
        <rFont val="Lucida Sans"/>
        <family val="2"/>
      </rPr>
      <t xml:space="preserve">enter the weighting for that assignment and/or examination. The corrected mark for the assignment will appear in the associated yellow cell, where 0&lt;w&lt;1. i.e all the weightings must add up to 1. </t>
    </r>
  </si>
  <si>
    <t>SCALED</t>
  </si>
  <si>
    <t>NOT SCALED</t>
  </si>
  <si>
    <t>ver 3.4</t>
  </si>
  <si>
    <t>Faculty Code</t>
  </si>
  <si>
    <t>Full Name</t>
  </si>
  <si>
    <t>Email Address</t>
  </si>
  <si>
    <t>Student Id</t>
  </si>
  <si>
    <t>CRN</t>
  </si>
  <si>
    <t>Subject Code</t>
  </si>
  <si>
    <t>Course Number</t>
  </si>
  <si>
    <t>Final Attendance</t>
  </si>
  <si>
    <t>F7</t>
  </si>
  <si>
    <t>Smith, David</t>
  </si>
  <si>
    <t>dcs206@soton.ac.uk</t>
  </si>
  <si>
    <t>21494878</t>
  </si>
  <si>
    <t>10662</t>
  </si>
  <si>
    <t>COMP</t>
  </si>
  <si>
    <t>3020</t>
  </si>
  <si>
    <t>Daffin, Michael James</t>
  </si>
  <si>
    <t>mjd3v07@soton.ac.uk</t>
  </si>
  <si>
    <t>22178767</t>
  </si>
  <si>
    <t>Zhao, Jingyi</t>
  </si>
  <si>
    <t>jz7v07@soton.ac.uk</t>
  </si>
  <si>
    <t>22227857</t>
  </si>
  <si>
    <t>Crump, Philip David</t>
  </si>
  <si>
    <t>pdc1g09@soton.ac.uk</t>
  </si>
  <si>
    <t>22739823</t>
  </si>
  <si>
    <t>Tamale, Moses Ssali</t>
  </si>
  <si>
    <t>mst2g09@soton.ac.uk</t>
  </si>
  <si>
    <t>23541229</t>
  </si>
  <si>
    <t>Malik, Talha Mohammad</t>
  </si>
  <si>
    <t>tm13g09@soton.ac.uk</t>
  </si>
  <si>
    <t>23617713</t>
  </si>
  <si>
    <t>Theron Rush, Scarlett</t>
  </si>
  <si>
    <t>str2g10@soton.ac.uk</t>
  </si>
  <si>
    <t>23921862</t>
  </si>
  <si>
    <t>Philp, Fraser Ross</t>
  </si>
  <si>
    <t>frp1g10@soton.ac.uk</t>
  </si>
  <si>
    <t>23992484</t>
  </si>
  <si>
    <t>Al-Maskari, Abdullah</t>
  </si>
  <si>
    <t>am1e10@soton.ac.uk</t>
  </si>
  <si>
    <t>24049115</t>
  </si>
  <si>
    <t>Ahmed, Mian Fayyaz</t>
  </si>
  <si>
    <t>mfa2g10@soton.ac.uk</t>
  </si>
  <si>
    <t>24318388</t>
  </si>
  <si>
    <t>Maseiva, Antanas</t>
  </si>
  <si>
    <t>am6e10@soton.ac.uk</t>
  </si>
  <si>
    <t>24492906</t>
  </si>
  <si>
    <t>3801COMP</t>
  </si>
  <si>
    <t>This spreadsheet is to be used for COMP3020 only</t>
  </si>
  <si>
    <t>Goncharov</t>
  </si>
  <si>
    <t>ag2g09@soton.ac.uk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</si>
</sst>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10"/>
      <color indexed="22"/>
      <name val="Arial"/>
      <family val="2"/>
    </font>
    <font>
      <b/>
      <sz val="12"/>
      <name val="Lucida Sans"/>
      <family val="2"/>
    </font>
    <font>
      <sz val="12"/>
      <name val="Lucida Sans"/>
      <family val="2"/>
    </font>
    <font>
      <i/>
      <sz val="12"/>
      <name val="Lucida Sans"/>
      <family val="2"/>
    </font>
    <font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450666829432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" fillId="0" borderId="0"/>
    <xf numFmtId="0" fontId="1" fillId="0" borderId="0"/>
  </cellStyleXfs>
  <cellXfs count="44">
    <xf numFmtId="0" fontId="0" fillId="0" borderId="0" xfId="0"/>
    <xf numFmtId="0" fontId="4" fillId="0" borderId="2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0" xfId="0" applyFont="1" applyFill="1" applyBorder="1"/>
    <xf numFmtId="0" fontId="8" fillId="0" borderId="1" xfId="0" applyFont="1" applyFill="1" applyBorder="1" applyAlignment="1">
      <alignment horizontal="center"/>
    </xf>
    <xf numFmtId="0" fontId="6" fillId="0" borderId="0" xfId="1" applyFont="1" applyFill="1" applyBorder="1" applyAlignment="1">
      <alignment horizontal="left" vertical="top"/>
    </xf>
    <xf numFmtId="0" fontId="10" fillId="0" borderId="0" xfId="0" applyFont="1" applyAlignment="1">
      <alignment horizontal="justify"/>
    </xf>
    <xf numFmtId="0" fontId="11" fillId="0" borderId="0" xfId="0" applyFont="1" applyAlignment="1">
      <alignment horizontal="justify"/>
    </xf>
    <xf numFmtId="49" fontId="0" fillId="0" borderId="0" xfId="0" applyNumberFormat="1" applyAlignment="1">
      <alignment vertical="center" wrapText="1"/>
    </xf>
    <xf numFmtId="0" fontId="1" fillId="0" borderId="1" xfId="0" applyFont="1" applyFill="1" applyBorder="1" applyAlignment="1">
      <alignment horizontal="center"/>
    </xf>
    <xf numFmtId="0" fontId="1" fillId="0" borderId="0" xfId="0" applyFont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Border="1"/>
    <xf numFmtId="0" fontId="12" fillId="0" borderId="0" xfId="0" applyFont="1" applyFill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Border="1"/>
    <xf numFmtId="0" fontId="1" fillId="0" borderId="0" xfId="0" applyFont="1" applyAlignment="1">
      <alignment horizontal="left"/>
    </xf>
    <xf numFmtId="0" fontId="1" fillId="0" borderId="0" xfId="2"/>
    <xf numFmtId="0" fontId="7" fillId="3" borderId="1" xfId="0" applyFont="1" applyFill="1" applyBorder="1" applyAlignment="1" applyProtection="1">
      <alignment horizontal="center"/>
      <protection locked="0"/>
    </xf>
    <xf numFmtId="0" fontId="7" fillId="5" borderId="1" xfId="0" applyFont="1" applyFill="1" applyBorder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center"/>
      <protection locked="0"/>
    </xf>
    <xf numFmtId="0" fontId="0" fillId="2" borderId="6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" xfId="0" applyBorder="1" applyAlignment="1" applyProtection="1">
      <protection locked="0"/>
    </xf>
    <xf numFmtId="0" fontId="0" fillId="8" borderId="1" xfId="0" applyFill="1" applyBorder="1" applyAlignment="1"/>
    <xf numFmtId="0" fontId="1" fillId="0" borderId="1" xfId="0" applyFont="1" applyFill="1" applyBorder="1"/>
    <xf numFmtId="0" fontId="0" fillId="0" borderId="1" xfId="0" applyBorder="1" applyProtection="1"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6" borderId="4" xfId="0" applyFill="1" applyBorder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center"/>
      <protection locked="0"/>
    </xf>
    <xf numFmtId="0" fontId="0" fillId="6" borderId="6" xfId="0" applyFill="1" applyBorder="1" applyAlignment="1" applyProtection="1">
      <alignment horizontal="center"/>
      <protection locked="0"/>
    </xf>
    <xf numFmtId="0" fontId="0" fillId="7" borderId="4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49" fontId="10" fillId="0" borderId="0" xfId="0" applyNumberFormat="1" applyFont="1" applyAlignment="1">
      <alignment horizontal="left" vertical="top" wrapText="1"/>
    </xf>
    <xf numFmtId="0" fontId="10" fillId="0" borderId="0" xfId="0" applyFont="1" applyAlignment="1">
      <alignment horizontal="left" wrapText="1"/>
    </xf>
  </cellXfs>
  <cellStyles count="3">
    <cellStyle name="Normal" xfId="0" builtinId="0"/>
    <cellStyle name="Normal 2" xfId="2"/>
    <cellStyle name="Normal_Master" xfId="1"/>
  </cellStyles>
  <dxfs count="2">
    <dxf>
      <font>
        <condense val="0"/>
        <extend val="0"/>
        <color indexed="13"/>
      </font>
    </dxf>
    <dxf>
      <font>
        <condense val="0"/>
        <extend val="0"/>
        <color indexed="34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D4D4D4"/>
      <rgbColor rgb="00F7F7E7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10</xdr:row>
      <xdr:rowOff>38100</xdr:rowOff>
    </xdr:from>
    <xdr:to>
      <xdr:col>7</xdr:col>
      <xdr:colOff>561975</xdr:colOff>
      <xdr:row>13</xdr:row>
      <xdr:rowOff>152400</xdr:rowOff>
    </xdr:to>
    <xdr:sp macro="[0]!activate_control_panel" textlink="">
      <xdr:nvSpPr>
        <xdr:cNvPr id="1029" name="Text Box 5"/>
        <xdr:cNvSpPr txBox="1">
          <a:spLocks noChangeArrowheads="1"/>
        </xdr:cNvSpPr>
      </xdr:nvSpPr>
      <xdr:spPr bwMode="auto">
        <a:xfrm>
          <a:off x="3219450" y="1495425"/>
          <a:ext cx="1609725" cy="600075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9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900"/>
            </a:lnSpc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 TO </a:t>
          </a:r>
        </a:p>
        <a:p>
          <a:pPr algn="ctr" rtl="0">
            <a:lnSpc>
              <a:spcPts val="900"/>
            </a:lnSpc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SELECT CONTROL PANEL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S43"/>
  <sheetViews>
    <sheetView tabSelected="1" zoomScale="150" zoomScaleNormal="150" zoomScalePageLayoutView="150" workbookViewId="0">
      <selection activeCell="E28" sqref="E28"/>
    </sheetView>
  </sheetViews>
  <sheetFormatPr baseColWidth="10" defaultColWidth="8.83203125" defaultRowHeight="12" x14ac:dyDescent="0"/>
  <cols>
    <col min="1" max="1" width="10.6640625" style="10" customWidth="1"/>
    <col min="2" max="2" width="33.6640625" style="10" customWidth="1"/>
    <col min="3" max="3" width="25.6640625" style="10" customWidth="1"/>
    <col min="4" max="4" width="10.6640625" style="10" customWidth="1"/>
    <col min="5" max="5" width="10.6640625" style="18" customWidth="1"/>
    <col min="6" max="33" width="10.6640625" style="10" customWidth="1"/>
    <col min="34" max="16384" width="8.83203125" style="10"/>
  </cols>
  <sheetData>
    <row r="1" spans="1:45">
      <c r="H1" s="37" t="s">
        <v>0</v>
      </c>
      <c r="I1" s="38"/>
      <c r="J1" s="39"/>
      <c r="K1" s="40" t="s">
        <v>8</v>
      </c>
      <c r="L1" s="40"/>
      <c r="M1" s="40"/>
      <c r="N1" s="40" t="s">
        <v>8</v>
      </c>
      <c r="O1" s="40"/>
      <c r="P1" s="40"/>
      <c r="Q1" s="40" t="s">
        <v>8</v>
      </c>
      <c r="R1" s="40"/>
      <c r="S1" s="40"/>
      <c r="T1" s="40" t="s">
        <v>8</v>
      </c>
      <c r="U1" s="40"/>
      <c r="V1" s="40"/>
      <c r="W1" s="9">
        <f>M3+P3+S3+V3</f>
        <v>0</v>
      </c>
    </row>
    <row r="2" spans="1:45">
      <c r="H2" s="32" t="s">
        <v>4</v>
      </c>
      <c r="I2" s="33"/>
      <c r="J2" s="34"/>
      <c r="K2" s="32" t="s">
        <v>3</v>
      </c>
      <c r="L2" s="33"/>
      <c r="M2" s="34"/>
      <c r="N2" s="32" t="s">
        <v>3</v>
      </c>
      <c r="O2" s="33"/>
      <c r="P2" s="34"/>
      <c r="Q2" s="32" t="s">
        <v>3</v>
      </c>
      <c r="R2" s="33"/>
      <c r="S2" s="34"/>
      <c r="T2" s="32" t="s">
        <v>3</v>
      </c>
      <c r="U2" s="33"/>
      <c r="V2" s="34"/>
      <c r="W2" s="1" t="str">
        <f>IF(OR(AND(J3="EO",I3=1,L3="W",O3="W",R3="W",U3="W"),AND(J3="ECW",W3=100),AND(J3="CWO",W3&gt;99.99)),"","ERROR")</f>
        <v/>
      </c>
    </row>
    <row r="3" spans="1:45">
      <c r="H3" s="20">
        <v>100</v>
      </c>
      <c r="I3" s="21">
        <v>1</v>
      </c>
      <c r="J3" s="22" t="s">
        <v>9</v>
      </c>
      <c r="K3" s="20" t="s">
        <v>5</v>
      </c>
      <c r="L3" s="21" t="s">
        <v>6</v>
      </c>
      <c r="M3" s="2">
        <f>IF(AND(ISNUMBER(K3),ISNUMBER(L3)),100*L3,0)</f>
        <v>0</v>
      </c>
      <c r="N3" s="20" t="s">
        <v>5</v>
      </c>
      <c r="O3" s="21" t="s">
        <v>6</v>
      </c>
      <c r="P3" s="2">
        <f>IF(AND(ISNUMBER(N3),ISNUMBER(O3)),100*(O3),0)</f>
        <v>0</v>
      </c>
      <c r="Q3" s="20" t="s">
        <v>5</v>
      </c>
      <c r="R3" s="21" t="s">
        <v>6</v>
      </c>
      <c r="S3" s="2">
        <f>IF(AND(ISNUMBER(Q3),ISNUMBER(R3)),100*R3,0)</f>
        <v>0</v>
      </c>
      <c r="T3" s="20" t="s">
        <v>5</v>
      </c>
      <c r="U3" s="21" t="s">
        <v>6</v>
      </c>
      <c r="V3" s="2">
        <f>IF(AND(ISNUMBER(T3),ISNUMBER(U3)),100*U3,0)</f>
        <v>0</v>
      </c>
      <c r="W3" s="4">
        <f>IF(J3="EO",100,IF(J3="CWO",W1,IF(J3="ECW",J4+W1,"")))</f>
        <v>100</v>
      </c>
    </row>
    <row r="4" spans="1:45">
      <c r="A4" s="19" t="s">
        <v>31</v>
      </c>
      <c r="B4" s="19" t="s">
        <v>32</v>
      </c>
      <c r="C4" s="19" t="s">
        <v>33</v>
      </c>
      <c r="D4" s="19" t="s">
        <v>34</v>
      </c>
      <c r="E4" s="19" t="s">
        <v>35</v>
      </c>
      <c r="F4" s="19" t="s">
        <v>36</v>
      </c>
      <c r="G4" s="19" t="s">
        <v>37</v>
      </c>
      <c r="H4" s="35" t="s">
        <v>7</v>
      </c>
      <c r="I4" s="36"/>
      <c r="J4" s="23">
        <f>IF(J3="CWO","",IF(J3="EO",100,IF(ISNUMBER(I3),I3*100,0)))</f>
        <v>100</v>
      </c>
      <c r="K4" s="24" t="s">
        <v>7</v>
      </c>
      <c r="L4" s="24" t="s">
        <v>2</v>
      </c>
      <c r="M4" s="24" t="s">
        <v>1</v>
      </c>
      <c r="N4" s="24" t="s">
        <v>7</v>
      </c>
      <c r="O4" s="24" t="s">
        <v>2</v>
      </c>
      <c r="P4" s="24" t="s">
        <v>1</v>
      </c>
      <c r="Q4" s="24" t="s">
        <v>7</v>
      </c>
      <c r="R4" s="24" t="s">
        <v>2</v>
      </c>
      <c r="S4" s="24" t="s">
        <v>1</v>
      </c>
      <c r="T4" s="24" t="s">
        <v>7</v>
      </c>
      <c r="U4" s="24" t="s">
        <v>2</v>
      </c>
      <c r="V4" s="24" t="s">
        <v>1</v>
      </c>
      <c r="W4" s="25" t="s">
        <v>24</v>
      </c>
      <c r="X4" s="19" t="s">
        <v>38</v>
      </c>
    </row>
    <row r="5" spans="1:45" ht="13">
      <c r="A5" s="19" t="s">
        <v>39</v>
      </c>
      <c r="B5" s="19" t="s">
        <v>40</v>
      </c>
      <c r="C5" s="19" t="s">
        <v>41</v>
      </c>
      <c r="D5" s="19" t="s">
        <v>42</v>
      </c>
      <c r="E5" s="19" t="s">
        <v>43</v>
      </c>
      <c r="F5" s="19" t="s">
        <v>44</v>
      </c>
      <c r="G5" s="19" t="s">
        <v>45</v>
      </c>
      <c r="H5" s="26"/>
      <c r="I5" s="27"/>
      <c r="J5" s="28">
        <f t="shared" ref="J5:J15" si="0">IF(AND(ISNUMBER($H$3),ISNUMBER($I$3)),H5*(100*$I$3)/$H$3,0)</f>
        <v>0</v>
      </c>
      <c r="K5" s="29"/>
      <c r="L5" s="29"/>
      <c r="M5" s="30">
        <f t="shared" ref="M5:M15" si="1">IF(L5&gt;5,0,IF(AND(ISNUMBER($K$3),ISNUMBER($L$3)),(K5*$M$3/$K$3*((10-L5)/10)),0))</f>
        <v>0</v>
      </c>
      <c r="N5" s="29"/>
      <c r="O5" s="29"/>
      <c r="P5" s="30">
        <f t="shared" ref="P5:P15" si="2">IF(O5&gt;5,0,IF(AND(ISNUMBER($N$3),ISNUMBER($O$3)),(N5*$P$3/$N$3)*((10-O5)/10),0))</f>
        <v>0</v>
      </c>
      <c r="Q5" s="29"/>
      <c r="R5" s="29"/>
      <c r="S5" s="30">
        <f t="shared" ref="S5:S15" si="3">IF(R5&gt;5,0,IF(AND(ISNUMBER($Q$3),ISNUMBER($R$3)),(Q5*$S$3/$Q$3)*((10-R5)/10),0))</f>
        <v>0</v>
      </c>
      <c r="T5" s="29"/>
      <c r="U5" s="29"/>
      <c r="V5" s="30">
        <f t="shared" ref="V5:V15" si="4">IF(U5&gt;5,0,IF(AND(ISNUMBER($T$3),ISNUMBER($U$3)),(T5*$V$3/$T$3)*((10-U5)/10),0))</f>
        <v>0</v>
      </c>
      <c r="W5" s="31">
        <f t="shared" ref="W5:W15" si="5">IF($W$3&lt;&gt;100,"---",ROUND(((J5+M5+P5+S5+V5)*100)/$W$3,0))</f>
        <v>0</v>
      </c>
      <c r="X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</row>
    <row r="6" spans="1:45" ht="13">
      <c r="A6" s="19" t="s">
        <v>39</v>
      </c>
      <c r="B6" s="19" t="s">
        <v>46</v>
      </c>
      <c r="C6" s="19" t="s">
        <v>47</v>
      </c>
      <c r="D6" s="19" t="s">
        <v>48</v>
      </c>
      <c r="E6" s="19" t="s">
        <v>43</v>
      </c>
      <c r="F6" s="19" t="s">
        <v>44</v>
      </c>
      <c r="G6" s="19" t="s">
        <v>45</v>
      </c>
      <c r="H6" s="26"/>
      <c r="I6" s="27"/>
      <c r="J6" s="28">
        <f t="shared" si="0"/>
        <v>0</v>
      </c>
      <c r="K6" s="29"/>
      <c r="L6" s="29"/>
      <c r="M6" s="30">
        <f t="shared" si="1"/>
        <v>0</v>
      </c>
      <c r="N6" s="29"/>
      <c r="O6" s="29"/>
      <c r="P6" s="30">
        <f t="shared" si="2"/>
        <v>0</v>
      </c>
      <c r="Q6" s="29"/>
      <c r="R6" s="29"/>
      <c r="S6" s="30">
        <f t="shared" si="3"/>
        <v>0</v>
      </c>
      <c r="T6" s="29"/>
      <c r="U6" s="29"/>
      <c r="V6" s="30">
        <f t="shared" si="4"/>
        <v>0</v>
      </c>
      <c r="W6" s="31">
        <f t="shared" si="5"/>
        <v>0</v>
      </c>
      <c r="X6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</row>
    <row r="7" spans="1:45" ht="13">
      <c r="A7" s="19" t="s">
        <v>39</v>
      </c>
      <c r="B7" s="19" t="s">
        <v>49</v>
      </c>
      <c r="C7" s="19" t="s">
        <v>50</v>
      </c>
      <c r="D7" s="19" t="s">
        <v>51</v>
      </c>
      <c r="E7" s="19" t="s">
        <v>43</v>
      </c>
      <c r="F7" s="19" t="s">
        <v>44</v>
      </c>
      <c r="G7" s="19" t="s">
        <v>45</v>
      </c>
      <c r="H7" s="26"/>
      <c r="I7" s="27"/>
      <c r="J7" s="28">
        <f t="shared" si="0"/>
        <v>0</v>
      </c>
      <c r="K7" s="29"/>
      <c r="L7" s="29"/>
      <c r="M7" s="30">
        <f t="shared" si="1"/>
        <v>0</v>
      </c>
      <c r="N7" s="29"/>
      <c r="O7" s="29"/>
      <c r="P7" s="30">
        <f t="shared" si="2"/>
        <v>0</v>
      </c>
      <c r="Q7" s="29"/>
      <c r="R7" s="29"/>
      <c r="S7" s="30">
        <f t="shared" si="3"/>
        <v>0</v>
      </c>
      <c r="T7" s="29"/>
      <c r="U7" s="29"/>
      <c r="V7" s="30">
        <f t="shared" si="4"/>
        <v>0</v>
      </c>
      <c r="W7" s="31">
        <f t="shared" si="5"/>
        <v>0</v>
      </c>
      <c r="X7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</row>
    <row r="8" spans="1:45" ht="13">
      <c r="A8" s="19" t="s">
        <v>39</v>
      </c>
      <c r="B8" s="19" t="s">
        <v>52</v>
      </c>
      <c r="C8" s="19" t="s">
        <v>53</v>
      </c>
      <c r="D8" s="19" t="s">
        <v>54</v>
      </c>
      <c r="E8" s="19" t="s">
        <v>43</v>
      </c>
      <c r="F8" s="19" t="s">
        <v>44</v>
      </c>
      <c r="G8" s="19" t="s">
        <v>45</v>
      </c>
      <c r="H8" s="26">
        <v>56</v>
      </c>
      <c r="I8" s="27"/>
      <c r="J8" s="28">
        <f t="shared" si="0"/>
        <v>56</v>
      </c>
      <c r="K8" s="29"/>
      <c r="L8" s="29"/>
      <c r="M8" s="30">
        <f t="shared" si="1"/>
        <v>0</v>
      </c>
      <c r="N8" s="29"/>
      <c r="O8" s="29"/>
      <c r="P8" s="30">
        <f t="shared" si="2"/>
        <v>0</v>
      </c>
      <c r="Q8" s="29"/>
      <c r="R8" s="29"/>
      <c r="S8" s="30">
        <f t="shared" si="3"/>
        <v>0</v>
      </c>
      <c r="T8" s="29"/>
      <c r="U8" s="29"/>
      <c r="V8" s="30">
        <f t="shared" si="4"/>
        <v>0</v>
      </c>
      <c r="W8" s="31">
        <f t="shared" si="5"/>
        <v>56</v>
      </c>
      <c r="X8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</row>
    <row r="9" spans="1:45" ht="13">
      <c r="A9" s="19" t="s">
        <v>39</v>
      </c>
      <c r="B9" s="19" t="s">
        <v>55</v>
      </c>
      <c r="C9" s="19" t="s">
        <v>56</v>
      </c>
      <c r="D9" s="19" t="s">
        <v>57</v>
      </c>
      <c r="E9" s="19" t="s">
        <v>43</v>
      </c>
      <c r="F9" s="19" t="s">
        <v>44</v>
      </c>
      <c r="G9" s="19" t="s">
        <v>45</v>
      </c>
      <c r="H9" s="26"/>
      <c r="I9" s="27"/>
      <c r="J9" s="28">
        <f t="shared" si="0"/>
        <v>0</v>
      </c>
      <c r="K9" s="29"/>
      <c r="L9" s="29"/>
      <c r="M9" s="30">
        <f t="shared" si="1"/>
        <v>0</v>
      </c>
      <c r="N9" s="29"/>
      <c r="O9" s="29"/>
      <c r="P9" s="30">
        <f t="shared" si="2"/>
        <v>0</v>
      </c>
      <c r="Q9" s="29"/>
      <c r="R9" s="29"/>
      <c r="S9" s="30">
        <f t="shared" si="3"/>
        <v>0</v>
      </c>
      <c r="T9" s="29"/>
      <c r="U9" s="29"/>
      <c r="V9" s="30">
        <f t="shared" si="4"/>
        <v>0</v>
      </c>
      <c r="W9" s="31">
        <f t="shared" si="5"/>
        <v>0</v>
      </c>
      <c r="X9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</row>
    <row r="10" spans="1:45" ht="13">
      <c r="A10" s="19" t="s">
        <v>39</v>
      </c>
      <c r="B10" s="19" t="s">
        <v>58</v>
      </c>
      <c r="C10" s="19" t="s">
        <v>59</v>
      </c>
      <c r="D10" s="19" t="s">
        <v>60</v>
      </c>
      <c r="E10" s="19" t="s">
        <v>43</v>
      </c>
      <c r="F10" s="19" t="s">
        <v>44</v>
      </c>
      <c r="G10" s="19" t="s">
        <v>45</v>
      </c>
      <c r="H10" s="26">
        <v>43</v>
      </c>
      <c r="I10" s="27"/>
      <c r="J10" s="28">
        <f t="shared" si="0"/>
        <v>43</v>
      </c>
      <c r="K10" s="29"/>
      <c r="L10" s="29"/>
      <c r="M10" s="30">
        <f t="shared" si="1"/>
        <v>0</v>
      </c>
      <c r="N10" s="29"/>
      <c r="O10" s="29"/>
      <c r="P10" s="30">
        <f t="shared" si="2"/>
        <v>0</v>
      </c>
      <c r="Q10" s="29"/>
      <c r="R10" s="29"/>
      <c r="S10" s="30">
        <f t="shared" si="3"/>
        <v>0</v>
      </c>
      <c r="T10" s="29"/>
      <c r="U10" s="29"/>
      <c r="V10" s="30">
        <f t="shared" si="4"/>
        <v>0</v>
      </c>
      <c r="W10" s="31">
        <f t="shared" si="5"/>
        <v>43</v>
      </c>
      <c r="X10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</row>
    <row r="11" spans="1:45" ht="13">
      <c r="A11" s="19" t="s">
        <v>39</v>
      </c>
      <c r="B11" s="19" t="s">
        <v>61</v>
      </c>
      <c r="C11" s="19" t="s">
        <v>62</v>
      </c>
      <c r="D11" s="19" t="s">
        <v>63</v>
      </c>
      <c r="E11" s="19" t="s">
        <v>43</v>
      </c>
      <c r="F11" s="19" t="s">
        <v>44</v>
      </c>
      <c r="G11" s="19" t="s">
        <v>45</v>
      </c>
      <c r="H11" s="26"/>
      <c r="I11" s="27"/>
      <c r="J11" s="28">
        <f t="shared" si="0"/>
        <v>0</v>
      </c>
      <c r="K11" s="29"/>
      <c r="L11" s="29"/>
      <c r="M11" s="30">
        <f t="shared" si="1"/>
        <v>0</v>
      </c>
      <c r="N11" s="29"/>
      <c r="O11" s="29"/>
      <c r="P11" s="30">
        <f t="shared" si="2"/>
        <v>0</v>
      </c>
      <c r="Q11" s="29"/>
      <c r="R11" s="29"/>
      <c r="S11" s="30">
        <f t="shared" si="3"/>
        <v>0</v>
      </c>
      <c r="T11" s="29"/>
      <c r="U11" s="29"/>
      <c r="V11" s="30">
        <f t="shared" si="4"/>
        <v>0</v>
      </c>
      <c r="W11" s="31">
        <f t="shared" si="5"/>
        <v>0</v>
      </c>
      <c r="X11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</row>
    <row r="12" spans="1:45" ht="13">
      <c r="A12" s="19" t="s">
        <v>39</v>
      </c>
      <c r="B12" s="19" t="s">
        <v>64</v>
      </c>
      <c r="C12" s="19" t="s">
        <v>65</v>
      </c>
      <c r="D12" s="19" t="s">
        <v>66</v>
      </c>
      <c r="E12" s="19" t="s">
        <v>43</v>
      </c>
      <c r="F12" s="19" t="s">
        <v>44</v>
      </c>
      <c r="G12" s="19" t="s">
        <v>45</v>
      </c>
      <c r="H12" s="26">
        <v>45</v>
      </c>
      <c r="I12" s="27"/>
      <c r="J12" s="28">
        <f t="shared" si="0"/>
        <v>45</v>
      </c>
      <c r="K12" s="29"/>
      <c r="L12" s="29"/>
      <c r="M12" s="30">
        <f t="shared" si="1"/>
        <v>0</v>
      </c>
      <c r="N12" s="29"/>
      <c r="O12" s="29"/>
      <c r="P12" s="30">
        <f t="shared" si="2"/>
        <v>0</v>
      </c>
      <c r="Q12" s="29"/>
      <c r="R12" s="29"/>
      <c r="S12" s="30">
        <f t="shared" si="3"/>
        <v>0</v>
      </c>
      <c r="T12" s="29"/>
      <c r="U12" s="29"/>
      <c r="V12" s="30">
        <f t="shared" si="4"/>
        <v>0</v>
      </c>
      <c r="W12" s="31">
        <f t="shared" si="5"/>
        <v>45</v>
      </c>
      <c r="X12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</row>
    <row r="13" spans="1:45" ht="13">
      <c r="A13" s="19" t="s">
        <v>39</v>
      </c>
      <c r="B13" s="19" t="s">
        <v>67</v>
      </c>
      <c r="C13" s="19" t="s">
        <v>68</v>
      </c>
      <c r="D13" s="19" t="s">
        <v>69</v>
      </c>
      <c r="E13" s="19" t="s">
        <v>43</v>
      </c>
      <c r="F13" s="19" t="s">
        <v>44</v>
      </c>
      <c r="G13" s="19" t="s">
        <v>45</v>
      </c>
      <c r="H13" s="26">
        <v>34</v>
      </c>
      <c r="I13" s="27"/>
      <c r="J13" s="28">
        <f t="shared" si="0"/>
        <v>34</v>
      </c>
      <c r="K13" s="29"/>
      <c r="L13" s="29"/>
      <c r="M13" s="30">
        <f t="shared" si="1"/>
        <v>0</v>
      </c>
      <c r="N13" s="29"/>
      <c r="O13" s="29"/>
      <c r="P13" s="30">
        <f t="shared" si="2"/>
        <v>0</v>
      </c>
      <c r="Q13" s="29"/>
      <c r="R13" s="29"/>
      <c r="S13" s="30">
        <f t="shared" si="3"/>
        <v>0</v>
      </c>
      <c r="T13" s="29"/>
      <c r="U13" s="29"/>
      <c r="V13" s="30">
        <f t="shared" si="4"/>
        <v>0</v>
      </c>
      <c r="W13" s="31">
        <f t="shared" si="5"/>
        <v>34</v>
      </c>
      <c r="X13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</row>
    <row r="14" spans="1:45" ht="13">
      <c r="A14" s="19" t="s">
        <v>39</v>
      </c>
      <c r="B14" s="19" t="s">
        <v>70</v>
      </c>
      <c r="C14" s="19" t="s">
        <v>71</v>
      </c>
      <c r="D14" s="19" t="s">
        <v>72</v>
      </c>
      <c r="E14" s="19" t="s">
        <v>43</v>
      </c>
      <c r="F14" s="19" t="s">
        <v>44</v>
      </c>
      <c r="G14" s="19" t="s">
        <v>45</v>
      </c>
      <c r="H14" s="26"/>
      <c r="I14" s="27"/>
      <c r="J14" s="28">
        <f t="shared" si="0"/>
        <v>0</v>
      </c>
      <c r="K14" s="29"/>
      <c r="L14" s="29"/>
      <c r="M14" s="30">
        <f t="shared" si="1"/>
        <v>0</v>
      </c>
      <c r="N14" s="29"/>
      <c r="O14" s="29"/>
      <c r="P14" s="30">
        <f t="shared" si="2"/>
        <v>0</v>
      </c>
      <c r="Q14" s="29"/>
      <c r="R14" s="29"/>
      <c r="S14" s="30">
        <f t="shared" si="3"/>
        <v>0</v>
      </c>
      <c r="T14" s="29"/>
      <c r="U14" s="29"/>
      <c r="V14" s="30">
        <f t="shared" si="4"/>
        <v>0</v>
      </c>
      <c r="W14" s="31">
        <f t="shared" si="5"/>
        <v>0</v>
      </c>
      <c r="X14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</row>
    <row r="15" spans="1:45" ht="13">
      <c r="A15" s="19" t="s">
        <v>39</v>
      </c>
      <c r="B15" s="19" t="s">
        <v>73</v>
      </c>
      <c r="C15" s="19" t="s">
        <v>74</v>
      </c>
      <c r="D15" s="19" t="s">
        <v>75</v>
      </c>
      <c r="E15" s="19" t="s">
        <v>43</v>
      </c>
      <c r="F15" s="19" t="s">
        <v>44</v>
      </c>
      <c r="G15" s="19" t="s">
        <v>45</v>
      </c>
      <c r="H15" s="26">
        <v>51</v>
      </c>
      <c r="I15" s="27"/>
      <c r="J15" s="28">
        <f t="shared" si="0"/>
        <v>51</v>
      </c>
      <c r="K15" s="29"/>
      <c r="L15" s="29"/>
      <c r="M15" s="30">
        <f t="shared" si="1"/>
        <v>0</v>
      </c>
      <c r="N15" s="29"/>
      <c r="O15" s="29"/>
      <c r="P15" s="30">
        <f t="shared" si="2"/>
        <v>0</v>
      </c>
      <c r="Q15" s="29"/>
      <c r="R15" s="29"/>
      <c r="S15" s="30">
        <f t="shared" si="3"/>
        <v>0</v>
      </c>
      <c r="T15" s="29"/>
      <c r="U15" s="29"/>
      <c r="V15" s="30">
        <f t="shared" si="4"/>
        <v>0</v>
      </c>
      <c r="W15" s="31">
        <f t="shared" si="5"/>
        <v>51</v>
      </c>
      <c r="X1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</row>
    <row r="16" spans="1:45" ht="13">
      <c r="A16" t="s">
        <v>39</v>
      </c>
      <c r="B16" t="s">
        <v>78</v>
      </c>
      <c r="C16" t="s">
        <v>79</v>
      </c>
      <c r="D16">
        <v>23535024</v>
      </c>
      <c r="E16">
        <v>10662</v>
      </c>
      <c r="F16" t="s">
        <v>44</v>
      </c>
      <c r="G16">
        <v>3020</v>
      </c>
      <c r="H16"/>
      <c r="I16" s="27"/>
      <c r="J16" s="28">
        <f t="shared" ref="J16" si="6">IF(AND(ISNUMBER($H$3),ISNUMBER($I$3)),H16*(100*$I$3)/$H$3,0)</f>
        <v>0</v>
      </c>
      <c r="K16" s="29"/>
      <c r="L16" s="29"/>
      <c r="M16" s="30">
        <f t="shared" ref="M16" si="7">IF(L16&gt;5,0,IF(AND(ISNUMBER($K$3),ISNUMBER($L$3)),(K16*$M$3/$K$3*((10-L16)/10)),0))</f>
        <v>0</v>
      </c>
      <c r="N16" s="29"/>
      <c r="O16" s="29"/>
      <c r="P16" s="30">
        <f t="shared" ref="P16" si="8">IF(O16&gt;5,0,IF(AND(ISNUMBER($N$3),ISNUMBER($O$3)),(N16*$P$3/$N$3)*((10-O16)/10),0))</f>
        <v>0</v>
      </c>
      <c r="Q16" s="29"/>
      <c r="R16" s="29"/>
      <c r="S16" s="30">
        <f t="shared" ref="S16" si="9">IF(R16&gt;5,0,IF(AND(ISNUMBER($Q$3),ISNUMBER($R$3)),(Q16*$S$3/$Q$3)*((10-R16)/10),0))</f>
        <v>0</v>
      </c>
      <c r="T16" s="29"/>
      <c r="U16" s="29"/>
      <c r="V16" s="30">
        <f t="shared" ref="V16" si="10">IF(U16&gt;5,0,IF(AND(ISNUMBER($T$3),ISNUMBER($U$3)),(T16*$V$3/$T$3)*((10-U16)/10),0))</f>
        <v>0</v>
      </c>
      <c r="W16" s="31">
        <f t="shared" ref="W16" si="11">IF($W$3&lt;&gt;100,"---",ROUND(((J16+M16+P16+S16+V16)*100)/$W$3,0))</f>
        <v>0</v>
      </c>
      <c r="X16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</row>
    <row r="17" spans="1:45" ht="13">
      <c r="A17" s="5"/>
      <c r="B17" s="5"/>
      <c r="C17" s="5"/>
      <c r="D17" s="5"/>
      <c r="E17" s="5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</row>
    <row r="18" spans="1:45" ht="13">
      <c r="A18" s="5"/>
      <c r="B18" s="5"/>
      <c r="C18" s="5"/>
      <c r="D18" s="5"/>
      <c r="E18" s="5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</row>
    <row r="19" spans="1:45" ht="13">
      <c r="A19" s="5"/>
      <c r="B19" s="5"/>
      <c r="C19" s="5"/>
      <c r="D19" s="5"/>
      <c r="E19" s="5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</row>
    <row r="20" spans="1:45" ht="13">
      <c r="A20" s="5"/>
      <c r="B20" s="5"/>
      <c r="C20" s="5"/>
      <c r="D20" s="5"/>
      <c r="E20" s="5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</row>
    <row r="21" spans="1:45" ht="13">
      <c r="A21" s="5"/>
      <c r="B21" s="5"/>
      <c r="C21" s="5"/>
      <c r="D21" s="5"/>
      <c r="E21" s="5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</row>
    <row r="22" spans="1:45" ht="13">
      <c r="A22" s="5"/>
      <c r="B22" s="5"/>
      <c r="C22" s="5"/>
      <c r="D22" s="5"/>
      <c r="E22" s="5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</row>
    <row r="23" spans="1:45" ht="13">
      <c r="A23" s="5"/>
      <c r="B23" s="5"/>
      <c r="C23" s="5"/>
      <c r="D23" s="5"/>
      <c r="E23" s="5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</row>
    <row r="24" spans="1:45" ht="13">
      <c r="A24" s="12"/>
      <c r="B24" s="12"/>
      <c r="C24" s="12"/>
      <c r="D24" s="12"/>
      <c r="E24" s="14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2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spans="1:45" ht="13">
      <c r="A25" s="13"/>
      <c r="B25" s="13"/>
      <c r="C25" s="13"/>
      <c r="D25" s="13"/>
      <c r="E25" s="15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3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</row>
    <row r="26" spans="1:45" ht="13">
      <c r="A26" s="11"/>
      <c r="B26" s="11"/>
      <c r="C26" s="11"/>
      <c r="D26" s="11"/>
      <c r="E26" s="16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3"/>
      <c r="Y26" s="17"/>
      <c r="Z26" s="17"/>
    </row>
    <row r="27" spans="1:45" ht="13">
      <c r="A27" s="11"/>
      <c r="B27" s="11"/>
      <c r="C27" s="11"/>
      <c r="D27" s="11"/>
      <c r="E27" s="16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3"/>
      <c r="Y27" s="17"/>
      <c r="Z27" s="17"/>
    </row>
    <row r="28" spans="1:45" ht="13">
      <c r="A28" s="11"/>
      <c r="B28" s="11"/>
      <c r="C28" s="11"/>
      <c r="D28" s="11"/>
      <c r="E28" s="16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3"/>
      <c r="Y28" s="17"/>
      <c r="Z28" s="17"/>
    </row>
    <row r="29" spans="1:45" ht="13">
      <c r="A29" s="11"/>
      <c r="B29" s="11"/>
      <c r="C29" s="11"/>
      <c r="D29" s="11"/>
      <c r="E29" s="16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45" ht="13">
      <c r="A30" s="11"/>
      <c r="B30" s="11"/>
      <c r="C30" s="11"/>
      <c r="D30" s="11"/>
      <c r="E30" s="16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</row>
    <row r="31" spans="1:45" ht="13">
      <c r="A31" s="11"/>
      <c r="B31" s="11"/>
      <c r="C31" s="11"/>
      <c r="D31" s="11"/>
      <c r="E31" s="16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</row>
    <row r="32" spans="1:45" ht="13">
      <c r="A32" s="11"/>
      <c r="B32" s="11"/>
      <c r="C32" s="11"/>
      <c r="D32" s="11"/>
      <c r="E32" s="16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</row>
    <row r="33" spans="1:24" ht="13">
      <c r="A33" s="11"/>
      <c r="B33" s="11"/>
      <c r="C33" s="11"/>
      <c r="D33" s="11"/>
      <c r="E33" s="16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3">
      <c r="A34" s="11"/>
      <c r="B34" s="11"/>
      <c r="C34" s="11"/>
      <c r="D34" s="11"/>
      <c r="E34" s="16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</row>
    <row r="35" spans="1:24" ht="13">
      <c r="A35" s="11"/>
      <c r="B35" s="11"/>
      <c r="C35" s="11"/>
      <c r="D35" s="11"/>
      <c r="E35" s="16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</row>
    <row r="36" spans="1:24" ht="13">
      <c r="A36" s="11"/>
      <c r="B36" s="11"/>
      <c r="C36" s="11"/>
      <c r="D36" s="11"/>
      <c r="E36" s="16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</row>
    <row r="37" spans="1:24" ht="13">
      <c r="A37" s="11"/>
      <c r="B37" s="11"/>
      <c r="C37" s="11"/>
      <c r="D37" s="11"/>
      <c r="E37" s="16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3">
      <c r="A38" s="11"/>
      <c r="B38" s="11"/>
      <c r="C38" s="11"/>
      <c r="D38" s="11"/>
      <c r="E38" s="16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</row>
    <row r="39" spans="1:24" ht="13">
      <c r="A39" s="11"/>
      <c r="B39" s="11"/>
      <c r="C39" s="11"/>
      <c r="D39" s="11"/>
      <c r="E39" s="16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</row>
    <row r="40" spans="1:24" ht="13">
      <c r="A40" s="11"/>
      <c r="B40" s="11"/>
      <c r="C40" s="11"/>
      <c r="D40" s="11"/>
      <c r="E40" s="16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3">
      <c r="A41" s="11"/>
      <c r="B41" s="11"/>
      <c r="C41" s="11"/>
      <c r="D41" s="11"/>
      <c r="E41" s="16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</row>
    <row r="42" spans="1:24" ht="13">
      <c r="A42" s="11"/>
      <c r="B42" s="11"/>
      <c r="C42" s="11"/>
      <c r="D42" s="11"/>
      <c r="E42" s="16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</row>
    <row r="43" spans="1:24" ht="13">
      <c r="A43" s="11"/>
      <c r="B43" s="11"/>
      <c r="C43" s="11"/>
      <c r="D43" s="11"/>
      <c r="E43" s="16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</row>
  </sheetData>
  <sheetProtection password="C036" sheet="1" objects="1" scenarios="1"/>
  <mergeCells count="11">
    <mergeCell ref="T2:V2"/>
    <mergeCell ref="H4:I4"/>
    <mergeCell ref="H1:J1"/>
    <mergeCell ref="K1:M1"/>
    <mergeCell ref="N1:P1"/>
    <mergeCell ref="Q1:S1"/>
    <mergeCell ref="T1:V1"/>
    <mergeCell ref="H2:J2"/>
    <mergeCell ref="K2:M2"/>
    <mergeCell ref="N2:P2"/>
    <mergeCell ref="Q2:S2"/>
  </mergeCells>
  <phoneticPr fontId="2" type="noConversion"/>
  <conditionalFormatting sqref="V3 P3 M3">
    <cfRule type="cellIs" dxfId="1" priority="3" stopIfTrue="1" operator="equal">
      <formula>0</formula>
    </cfRule>
  </conditionalFormatting>
  <conditionalFormatting sqref="S3">
    <cfRule type="cellIs" dxfId="0" priority="4" stopIfTrue="1" operator="equal">
      <formula>0</formula>
    </cfRule>
  </conditionalFormatting>
  <dataValidations xWindow="472" yWindow="249" count="9">
    <dataValidation type="custom" errorStyle="warning" allowBlank="1" showInputMessage="1" showErrorMessage="1" errorTitle="Mark Error" error="Either the assignment parameters have not been set or the entered mark exceeds the maximum permitted" sqref="Q5:Q16 N5:N16 T5:T16">
      <formula1>NOT(OR(N$3="T",O$3="W",N5&gt;N$3))</formula1>
    </dataValidation>
    <dataValidation type="custom" errorStyle="warning" allowBlank="1" showInputMessage="1" showErrorMessage="1" errorTitle="Mark Error" error="Either the assignment parameters have not been set or the entered mark exceeds the maximum permitted" sqref="K5:K16">
      <formula1>NOT(OR($K$3="T",$L$3="W",K5&gt;K$3))</formula1>
    </dataValidation>
    <dataValidation type="custom" errorStyle="warning" allowBlank="1" showInputMessage="1" showErrorMessage="1" errorTitle="Mark Invalid" error="Either you have not set the maximum examination mark and weighting or the entered mark has exceeded the maximum mark." sqref="H5:H15">
      <formula1>NOT(OR(H$3="T",I$3="W",H5&gt;H$3))</formula1>
    </dataValidation>
    <dataValidation type="custom" allowBlank="1" showInputMessage="1" showErrorMessage="1" sqref="W2">
      <formula1>NOT(AND(W2="ERROR",ISBLANK(H5)))</formula1>
    </dataValidation>
    <dataValidation type="custom" allowBlank="1" showInputMessage="1" showErrorMessage="1" errorTitle="Weighting" error="Weighting outside range" promptTitle="Weighting" prompt="Input a number between 0 and 1 that equates to the weighting of the assignment" sqref="U3 L3 O3 R3">
      <formula1>OR(L3="W",AND(L3&gt;0,L3&lt;=1))</formula1>
    </dataValidation>
    <dataValidation type="custom" allowBlank="1" showInputMessage="1" showErrorMessage="1" errorTitle="Mark Range" error="The permitted mark range is 0 to 100" promptTitle="Assignment  Mark" prompt="Enter the maximum mark that can be acheived from the assignment" sqref="T3 K3 N3 Q3">
      <formula1>OR(K3="T",AND(K3&gt;0,K3&lt;=100))</formula1>
    </dataValidation>
    <dataValidation type="custom" allowBlank="1" showInputMessage="1" showErrorMessage="1" errorTitle="Weighting" error="Weighting outside range" promptTitle="Weighting" prompt="Input a number between 0 and 1 that equates to the weighting of the examination paper" sqref="I3">
      <formula1>OR(I3="W",AND(I3&gt;0,I3&lt;=1))</formula1>
    </dataValidation>
    <dataValidation type="custom" allowBlank="1" showInputMessage="1" showErrorMessage="1" errorTitle="Mark Range" error="The permitted mark range is 0 to 100" promptTitle="Examination Mark" prompt="Enter the maximum mark that can be acheived from the examination paper" sqref="H3">
      <formula1>OR(H3="T",AND(H3&gt;0,H3&lt;=100))</formula1>
    </dataValidation>
    <dataValidation type="list" allowBlank="1" showInputMessage="1" showErrorMessage="1" sqref="J3">
      <formula1>Options</formula1>
    </dataValidation>
  </dataValidations>
  <pageMargins left="0.75" right="0.75" top="1" bottom="1" header="0.5" footer="0.5"/>
  <pageSetup paperSize="9"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K32"/>
  <sheetViews>
    <sheetView workbookViewId="0">
      <selection activeCell="P12" sqref="P12"/>
    </sheetView>
  </sheetViews>
  <sheetFormatPr baseColWidth="10" defaultColWidth="8.83203125" defaultRowHeight="12" x14ac:dyDescent="0"/>
  <cols>
    <col min="1" max="1" width="15.5" customWidth="1"/>
  </cols>
  <sheetData>
    <row r="1" spans="1:8">
      <c r="A1" t="s">
        <v>77</v>
      </c>
      <c r="H1" t="s">
        <v>76</v>
      </c>
    </row>
    <row r="3" spans="1:8">
      <c r="A3" s="10" t="s">
        <v>30</v>
      </c>
    </row>
    <row r="4" spans="1:8">
      <c r="A4" t="s">
        <v>9</v>
      </c>
      <c r="B4" t="s">
        <v>12</v>
      </c>
    </row>
    <row r="5" spans="1:8">
      <c r="A5" t="s">
        <v>10</v>
      </c>
      <c r="B5" t="s">
        <v>13</v>
      </c>
    </row>
    <row r="6" spans="1:8">
      <c r="A6" t="s">
        <v>11</v>
      </c>
      <c r="B6" t="s">
        <v>14</v>
      </c>
    </row>
    <row r="8" spans="1:8">
      <c r="A8" s="10" t="s">
        <v>28</v>
      </c>
      <c r="B8" s="10" t="s">
        <v>23</v>
      </c>
    </row>
    <row r="9" spans="1:8">
      <c r="A9" s="10" t="s">
        <v>29</v>
      </c>
      <c r="B9" s="10" t="s">
        <v>23</v>
      </c>
    </row>
    <row r="19" spans="1:11" ht="16">
      <c r="A19" s="41" t="s">
        <v>15</v>
      </c>
      <c r="B19" s="41"/>
      <c r="C19" s="41"/>
      <c r="D19" s="41"/>
      <c r="E19" s="41"/>
      <c r="F19" s="41"/>
      <c r="G19" s="41"/>
      <c r="H19" s="41"/>
      <c r="I19" s="41"/>
      <c r="J19" s="41"/>
      <c r="K19" s="41"/>
    </row>
    <row r="20" spans="1:11" ht="16">
      <c r="A20" s="6"/>
    </row>
    <row r="21" spans="1:11" ht="42" customHeight="1">
      <c r="A21" s="42" t="s">
        <v>25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ht="25.5" customHeight="1">
      <c r="A22" s="42" t="s">
        <v>16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32.25" customHeight="1">
      <c r="A23" s="42" t="s">
        <v>26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</row>
    <row r="24" spans="1:11" s="8" customFormat="1" ht="48" customHeight="1">
      <c r="A24" s="42" t="s">
        <v>27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 s="8" customFormat="1" ht="30.75" customHeight="1">
      <c r="A25" s="42" t="s">
        <v>20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 ht="29.25" customHeight="1">
      <c r="A26" s="42" t="s">
        <v>21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 ht="30.75" customHeight="1">
      <c r="A27" s="42" t="s">
        <v>22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</row>
    <row r="28" spans="1:11" ht="16">
      <c r="A28" s="7"/>
    </row>
    <row r="29" spans="1:11" ht="16">
      <c r="A29" s="41" t="s">
        <v>17</v>
      </c>
      <c r="B29" s="41"/>
      <c r="C29" s="41"/>
      <c r="D29" s="41"/>
      <c r="E29" s="41"/>
      <c r="F29" s="41"/>
      <c r="G29" s="41"/>
      <c r="H29" s="41"/>
      <c r="I29" s="41"/>
      <c r="J29" s="41"/>
      <c r="K29" s="41"/>
    </row>
    <row r="30" spans="1:11" ht="16">
      <c r="A30" s="7"/>
    </row>
    <row r="31" spans="1:11" ht="16">
      <c r="A31" s="43" t="s">
        <v>18</v>
      </c>
      <c r="B31" s="43"/>
      <c r="C31" s="43"/>
      <c r="D31" s="43"/>
      <c r="E31" s="43"/>
      <c r="F31" s="43"/>
      <c r="G31" s="43"/>
      <c r="H31" s="43"/>
      <c r="I31" s="43"/>
      <c r="J31" s="43"/>
      <c r="K31" s="43"/>
    </row>
    <row r="32" spans="1:11" ht="50.25" customHeight="1">
      <c r="A32" s="43" t="s">
        <v>19</v>
      </c>
      <c r="B32" s="43"/>
      <c r="C32" s="43"/>
      <c r="D32" s="43"/>
      <c r="E32" s="43"/>
      <c r="F32" s="43"/>
      <c r="G32" s="43"/>
      <c r="H32" s="43"/>
      <c r="I32" s="43"/>
      <c r="J32" s="43"/>
      <c r="K32" s="43"/>
    </row>
  </sheetData>
  <mergeCells count="11">
    <mergeCell ref="A32:K32"/>
    <mergeCell ref="A24:K24"/>
    <mergeCell ref="A26:K26"/>
    <mergeCell ref="A27:K27"/>
    <mergeCell ref="A29:K29"/>
    <mergeCell ref="A25:K25"/>
    <mergeCell ref="A19:K19"/>
    <mergeCell ref="A21:K21"/>
    <mergeCell ref="A22:K22"/>
    <mergeCell ref="A23:K23"/>
    <mergeCell ref="A31:K31"/>
  </mergeCells>
  <phoneticPr fontId="2" type="noConversion"/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Entry</vt:lpstr>
      <vt:lpstr>Instructions</vt:lpstr>
    </vt:vector>
  </TitlesOfParts>
  <Company>University of Southampton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 M Crowder</dc:creator>
  <cp:lastModifiedBy>Michael Poppleton</cp:lastModifiedBy>
  <cp:lastPrinted>2010-04-16T14:15:39Z</cp:lastPrinted>
  <dcterms:created xsi:type="dcterms:W3CDTF">2010-04-16T13:04:09Z</dcterms:created>
  <dcterms:modified xsi:type="dcterms:W3CDTF">2013-09-09T14:07:49Z</dcterms:modified>
</cp:coreProperties>
</file>